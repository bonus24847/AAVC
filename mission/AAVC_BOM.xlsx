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฿#,##0"/>
  </numFmts>
  <fonts count="7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808080"/>
      <sz val="9"/>
    </font>
    <font>
      <name val="Tahoma"/>
      <b val="1"/>
      <color rgb="00FFFFFF"/>
      <sz val="11"/>
    </font>
    <font>
      <name val="Tahoma"/>
      <b val="1"/>
      <sz val="11"/>
    </font>
    <font>
      <name val="Tahoma"/>
      <sz val="10"/>
    </font>
    <font>
      <name val="Tahoma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/>
    </xf>
    <xf numFmtId="164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4" customWidth="1" min="4" max="4"/>
    <col width="7" customWidth="1" min="5" max="5"/>
    <col width="13" customWidth="1" min="6" max="6"/>
    <col width="13" customWidth="1" min="7" max="7"/>
    <col width="12" customWidth="1" min="8" max="8"/>
    <col width="12" customWidth="1" min="9" max="9"/>
    <col width="10" customWidth="1" min="10" max="10"/>
    <col width="40" customWidth="1" min="11" max="11"/>
  </cols>
  <sheetData>
    <row r="1" ht="24" customHeight="1">
      <c r="A1" s="1" t="inlineStr">
        <is>
          <t>AAVC 2026 — Hardware BOM (EFT X6100 hexacopter / 6S / ใบ 16") · rules V1.3</t>
        </is>
      </c>
    </row>
    <row r="2">
      <c r="A2" s="2" t="inlineStr">
        <is>
          <t>AUW เต็ม payload ≈ 7.17 kg (Power-System-Guide-1.pdf — ชั่งจริงที่ G5)  ·  payload = ไข่ no.0 ในถุงหัวใจ ~0.1-0.15 kg (กติกา V1.3: 1 ฟอง/เที่ยว)  ·  ราคาเป็นประมาณการตลาด  ·  THB</t>
        </is>
      </c>
    </row>
    <row r="3" ht="30" customHeight="1">
      <c r="A3" s="3" t="inlineStr">
        <is>
          <t>หมวด</t>
        </is>
      </c>
      <c r="B3" s="3" t="inlineStr">
        <is>
          <t>รายการ</t>
        </is>
      </c>
      <c r="C3" s="3" t="inlineStr">
        <is>
          <t>รุ่นแนะนำ</t>
        </is>
      </c>
      <c r="D3" s="3" t="inlineStr">
        <is>
          <t>ทางเลือกประหยัด</t>
        </is>
      </c>
      <c r="E3" s="3" t="inlineStr">
        <is>
          <t>จำนวน</t>
        </is>
      </c>
      <c r="F3" s="3" t="inlineStr">
        <is>
          <t>ราคา/หน่วย (ประหยัด)</t>
        </is>
      </c>
      <c r="G3" s="3" t="inlineStr">
        <is>
          <t>ราคา/หน่วย (แนะนำ)</t>
        </is>
      </c>
      <c r="H3" s="3" t="inlineStr">
        <is>
          <t>รวม (ประหยัด)</t>
        </is>
      </c>
      <c r="I3" s="3" t="inlineStr">
        <is>
          <t>รวม (แนะนำ)</t>
        </is>
      </c>
      <c r="J3" s="3" t="inlineStr">
        <is>
          <t>สถานะ</t>
        </is>
      </c>
      <c r="K3" s="3" t="inlineStr">
        <is>
          <t>หมายเหตุ</t>
        </is>
      </c>
    </row>
    <row r="4">
      <c r="A4" s="4" t="inlineStr">
        <is>
          <t>✅ มีอยู่แล้ว — ไม่ต้องซื้อ (ราคาประมาณการเพื่อคิดต้นทุน all-in)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6" t="inlineStr">
        <is>
          <t>Flight controller</t>
        </is>
      </c>
      <c r="B5" s="7" t="inlineStr">
        <is>
          <t>Pixhawk 6X (standard set)</t>
        </is>
      </c>
      <c r="C5" s="7" t="inlineStr"/>
      <c r="D5" s="7" t="inlineStr"/>
      <c r="E5" s="8" t="n">
        <v>1</v>
      </c>
      <c r="F5" s="9" t="n">
        <v>13000</v>
      </c>
      <c r="G5" s="9" t="n">
        <v>16000</v>
      </c>
      <c r="H5" s="9">
        <f>E5*F5</f>
        <v/>
      </c>
      <c r="I5" s="9">
        <f>E5*G5</f>
        <v/>
      </c>
      <c r="J5" s="8" t="inlineStr">
        <is>
          <t>มีแล้ว</t>
        </is>
      </c>
      <c r="K5" s="7" t="inlineStr">
        <is>
          <t>ชุดมาตรฐานมี PM02 มาด้วย แต่ลำนี้ใช้ PM03D</t>
        </is>
      </c>
    </row>
    <row r="6">
      <c r="A6" s="6" t="inlineStr">
        <is>
          <t>Companion</t>
        </is>
      </c>
      <c r="B6" s="7" t="inlineStr">
        <is>
          <t>Raspberry Pi CM4 (เช็ก eMMC/Lite)</t>
        </is>
      </c>
      <c r="C6" s="7" t="inlineStr"/>
      <c r="D6" s="7" t="inlineStr"/>
      <c r="E6" s="8" t="n">
        <v>1</v>
      </c>
      <c r="F6" s="9" t="n">
        <v>2500</v>
      </c>
      <c r="G6" s="9" t="n">
        <v>4500</v>
      </c>
      <c r="H6" s="9">
        <f>E6*F6</f>
        <v/>
      </c>
      <c r="I6" s="9">
        <f>E6*G6</f>
        <v/>
      </c>
      <c r="J6" s="8" t="inlineStr">
        <is>
          <t>มีแล้ว</t>
        </is>
      </c>
      <c r="K6" s="7" t="inlineStr">
        <is>
          <t>ราคาแปรตาม RAM/eMMC</t>
        </is>
      </c>
    </row>
    <row r="7">
      <c r="A7" s="6" t="inlineStr">
        <is>
          <t>โครง</t>
        </is>
      </c>
      <c r="B7" s="7" t="inlineStr">
        <is>
          <t>EFT X6100 hexacopter (wheelbase ~1160mm)</t>
        </is>
      </c>
      <c r="C7" s="7" t="inlineStr"/>
      <c r="D7" s="7" t="inlineStr"/>
      <c r="E7" s="8" t="n">
        <v>1</v>
      </c>
      <c r="F7" s="9" t="n">
        <v>2500</v>
      </c>
      <c r="G7" s="9" t="n">
        <v>5000</v>
      </c>
      <c r="H7" s="9">
        <f>E7*F7</f>
        <v/>
      </c>
      <c r="I7" s="9">
        <f>E7*G7</f>
        <v/>
      </c>
      <c r="J7" s="8" t="inlineStr">
        <is>
          <t>มีแล้ว</t>
        </is>
      </c>
      <c r="K7" s="7" t="inlineStr">
        <is>
          <t>เฟรม hexa-X 6 แขน</t>
        </is>
      </c>
    </row>
    <row r="8">
      <c r="A8" s="6" t="inlineStr">
        <is>
          <t>ใบพัด</t>
        </is>
      </c>
      <c r="B8" s="7" t="inlineStr">
        <is>
          <t>16" (ชุดใช้งาน)</t>
        </is>
      </c>
      <c r="C8" s="7" t="inlineStr"/>
      <c r="D8" s="7" t="inlineStr"/>
      <c r="E8" s="8" t="n">
        <v>3</v>
      </c>
      <c r="F8" s="9" t="n">
        <v>400</v>
      </c>
      <c r="G8" s="9" t="n">
        <v>700</v>
      </c>
      <c r="H8" s="9">
        <f>E8*F8</f>
        <v/>
      </c>
      <c r="I8" s="9">
        <f>E8*G8</f>
        <v/>
      </c>
      <c r="J8" s="8" t="inlineStr">
        <is>
          <t>มีแล้ว</t>
        </is>
      </c>
      <c r="K8" s="7" t="inlineStr">
        <is>
          <t>หน่วย=คู่ (CW+CCW) — hexa ใช้ 3 คู่</t>
        </is>
      </c>
    </row>
    <row r="9">
      <c r="A9" s="6" t="inlineStr">
        <is>
          <t>แบตเตอรี่</t>
        </is>
      </c>
      <c r="B9" s="7" t="inlineStr">
        <is>
          <t>DXF 6S 7500mAh 140C LiPo</t>
        </is>
      </c>
      <c r="C9" s="7" t="inlineStr"/>
      <c r="D9" s="7" t="inlineStr"/>
      <c r="E9" s="8" t="n">
        <v>2</v>
      </c>
      <c r="F9" s="9" t="n">
        <v>2800</v>
      </c>
      <c r="G9" s="9" t="n">
        <v>4500</v>
      </c>
      <c r="H9" s="9">
        <f>E9*F9</f>
        <v/>
      </c>
      <c r="I9" s="9">
        <f>E9*G9</f>
        <v/>
      </c>
      <c r="J9" s="8" t="inlineStr">
        <is>
          <t>มีแล้ว</t>
        </is>
      </c>
      <c r="K9" s="7" t="inlineStr">
        <is>
          <t>ต่อขนาน 2 ก้อน = 15,000mAh @6S (2026-07-25); +1.05kg → AUW 8.22kg</t>
        </is>
      </c>
    </row>
    <row r="10">
      <c r="A10" s="6" t="inlineStr">
        <is>
          <t>RC + Telemetry</t>
        </is>
      </c>
      <c r="B10" s="7" t="inlineStr">
        <is>
          <t>RadioMaster TX16S mk2 + Nomad + DBR4 Gemini</t>
        </is>
      </c>
      <c r="C10" s="7" t="inlineStr"/>
      <c r="D10" s="7" t="inlineStr"/>
      <c r="E10" s="8" t="n">
        <v>1</v>
      </c>
      <c r="F10" s="9" t="n">
        <v>4000</v>
      </c>
      <c r="G10" s="9" t="n">
        <v>6000</v>
      </c>
      <c r="H10" s="9">
        <f>E10*F10</f>
        <v/>
      </c>
      <c r="I10" s="9">
        <f>E10*G10</f>
        <v/>
      </c>
      <c r="J10" s="8" t="inlineStr">
        <is>
          <t>มีแล้ว</t>
        </is>
      </c>
      <c r="K10" s="7" t="inlineStr">
        <is>
          <t>รีโมท + TX dual-band ELRS + RX diversity (CRSF เข้า TELEM1)</t>
        </is>
      </c>
    </row>
    <row r="11">
      <c r="A11" s="4" t="inlineStr">
        <is>
          <t>A. Propulsion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10" t="inlineStr">
        <is>
          <t>Propulsion</t>
        </is>
      </c>
      <c r="B12" s="11" t="inlineStr">
        <is>
          <t>มอเตอร์ (16" 6S)</t>
        </is>
      </c>
      <c r="C12" s="11" t="inlineStr">
        <is>
          <t>T-Motor MN4014 330KV</t>
        </is>
      </c>
      <c r="D12" s="11" t="inlineStr">
        <is>
          <t>SunnySky X4112S 340KV</t>
        </is>
      </c>
      <c r="E12" s="12" t="n">
        <v>6</v>
      </c>
      <c r="F12" s="13" t="n">
        <v>1200</v>
      </c>
      <c r="G12" s="13" t="n">
        <v>2200</v>
      </c>
      <c r="H12" s="13">
        <f>E12*F12</f>
        <v/>
      </c>
      <c r="I12" s="13">
        <f>E12*G12</f>
        <v/>
      </c>
      <c r="J12" s="12" t="inlineStr">
        <is>
          <t>ซื้อ</t>
        </is>
      </c>
      <c r="K12" s="11" t="inlineStr">
        <is>
          <t>6 ตัวสำหรับ hexa; 3.84kg/ตัว @18" → T/W 3.2:1 ที่ AUW 7.17kg; เช็ก bolt pattern arm X6100</t>
        </is>
      </c>
    </row>
    <row r="13">
      <c r="A13" s="10" t="inlineStr">
        <is>
          <t>Propulsion</t>
        </is>
      </c>
      <c r="B13" s="11" t="inlineStr">
        <is>
          <t>ESC 60A DShot</t>
        </is>
      </c>
      <c r="C13" s="11" t="inlineStr">
        <is>
          <t>T-Motor Alpha 60A</t>
        </is>
      </c>
      <c r="D13" s="11" t="inlineStr">
        <is>
          <t>Hobbywing XRotor 60A</t>
        </is>
      </c>
      <c r="E13" s="12" t="n">
        <v>6</v>
      </c>
      <c r="F13" s="13" t="n">
        <v>900</v>
      </c>
      <c r="G13" s="13" t="n">
        <v>1500</v>
      </c>
      <c r="H13" s="13">
        <f>E13*F13</f>
        <v/>
      </c>
      <c r="I13" s="13">
        <f>E13*G13</f>
        <v/>
      </c>
      <c r="J13" s="12" t="inlineStr">
        <is>
          <t>ซื้อ</t>
        </is>
      </c>
      <c r="K13" s="11" t="inlineStr">
        <is>
          <t>แยก 6 ตัว (ไม่ใช่ 4-in-1) — ระบายร้อน/ซ่อมง่ายกว่า และ hexa บินต่อได้ถ้าเสีย 1 ตัว</t>
        </is>
      </c>
    </row>
    <row r="14">
      <c r="A14" s="10" t="inlineStr">
        <is>
          <t>Propulsion</t>
        </is>
      </c>
      <c r="B14" s="11" t="inlineStr">
        <is>
          <t>ใบ 16" คาร์บอน (สำรอง)</t>
        </is>
      </c>
      <c r="C14" s="11" t="inlineStr">
        <is>
          <t>1655 carbon</t>
        </is>
      </c>
      <c r="D14" s="11" t="inlineStr"/>
      <c r="E14" s="12" t="n">
        <v>3</v>
      </c>
      <c r="F14" s="13" t="n">
        <v>400</v>
      </c>
      <c r="G14" s="13" t="n">
        <v>700</v>
      </c>
      <c r="H14" s="13">
        <f>E14*F14</f>
        <v/>
      </c>
      <c r="I14" s="13">
        <f>E14*G14</f>
        <v/>
      </c>
      <c r="J14" s="12" t="inlineStr">
        <is>
          <t>ซื้อ</t>
        </is>
      </c>
      <c r="K14" s="11" t="inlineStr">
        <is>
          <t>หน่วย=คู่; เน้น efficiency</t>
        </is>
      </c>
    </row>
    <row r="15">
      <c r="A15" s="4" t="inlineStr">
        <is>
          <t>B. Power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10" t="inlineStr">
        <is>
          <t>Power</t>
        </is>
      </c>
      <c r="B16" s="11" t="inlineStr">
        <is>
          <t>Power module 6S</t>
        </is>
      </c>
      <c r="C16" s="11" t="inlineStr">
        <is>
          <t>Holybro PM03D</t>
        </is>
      </c>
      <c r="D16" s="11" t="inlineStr">
        <is>
          <t>PM02 V3</t>
        </is>
      </c>
      <c r="E16" s="12" t="n">
        <v>1</v>
      </c>
      <c r="F16" s="13" t="n">
        <v>1200</v>
      </c>
      <c r="G16" s="13" t="n">
        <v>2000</v>
      </c>
      <c r="H16" s="13">
        <f>E16*F16</f>
        <v/>
      </c>
      <c r="I16" s="13">
        <f>E16*G16</f>
        <v/>
      </c>
      <c r="J16" s="12" t="inlineStr">
        <is>
          <t>ซื้อ</t>
        </is>
      </c>
      <c r="K16" s="11" t="inlineStr">
        <is>
          <t>PM03D = digital/DroneCAN — ตั้ง BAT1_N_CELLS=6, BAT1_CAPACITY=15000 ที่ G5 (15000 = แบต 2 ก้อนขนาน รวมกัน ไม่ใช่ 7500 ของก้อนเดียว — ต้องตรงกับ battery.capacity_mah ใน sitl/aavc_config.yaml ที่ EnergyPolicy cross-check ไว้). เช็ก rating ของ shunt/โมดูลเทียบ hover 35.6A ต่อเนื่อง + peak ตอนไต่</t>
        </is>
      </c>
    </row>
    <row r="17">
      <c r="A17" s="10" t="inlineStr">
        <is>
          <t>Power</t>
        </is>
      </c>
      <c r="B17" s="11" t="inlineStr">
        <is>
          <t>BEC 5V/5A (เลี้ยง CM4 แยก)</t>
        </is>
      </c>
      <c r="C17" s="11" t="inlineStr">
        <is>
          <t>Mateksys / Pololu</t>
        </is>
      </c>
      <c r="D17" s="11" t="inlineStr"/>
      <c r="E17" s="12" t="n">
        <v>1</v>
      </c>
      <c r="F17" s="13" t="n">
        <v>300</v>
      </c>
      <c r="G17" s="13" t="n">
        <v>500</v>
      </c>
      <c r="H17" s="13">
        <f>E17*F17</f>
        <v/>
      </c>
      <c r="I17" s="13">
        <f>E17*G17</f>
        <v/>
      </c>
      <c r="J17" s="12" t="inlineStr">
        <is>
          <t>ซื้อ</t>
        </is>
      </c>
      <c r="K17" s="11" t="inlineStr">
        <is>
          <t>อย่าดึงไฟ CM4 จาก FC rail</t>
        </is>
      </c>
    </row>
    <row r="18">
      <c r="A18" s="10" t="inlineStr">
        <is>
          <t>Power</t>
        </is>
      </c>
      <c r="B18" s="11" t="inlineStr">
        <is>
          <t>PDB / สาย / XT90 / connector</t>
        </is>
      </c>
      <c r="C18" s="11" t="inlineStr">
        <is>
          <t>—</t>
        </is>
      </c>
      <c r="D18" s="11" t="inlineStr"/>
      <c r="E18" s="12" t="n">
        <v>1</v>
      </c>
      <c r="F18" s="13" t="n">
        <v>500</v>
      </c>
      <c r="G18" s="13" t="n">
        <v>1000</v>
      </c>
      <c r="H18" s="13">
        <f>E18*F18</f>
        <v/>
      </c>
      <c r="I18" s="13">
        <f>E18*G18</f>
        <v/>
      </c>
      <c r="J18" s="12" t="inlineStr">
        <is>
          <t>ซื้อ</t>
        </is>
      </c>
      <c r="K18" s="11" t="inlineStr"/>
    </row>
    <row r="19">
      <c r="A19" s="10" t="inlineStr">
        <is>
          <t>Power</t>
        </is>
      </c>
      <c r="B19" s="11" t="inlineStr">
        <is>
          <t>สาย Y ขนานแบต 2 ก้อน (XT90 บัดกรี)</t>
        </is>
      </c>
      <c r="C19" s="11" t="inlineStr">
        <is>
          <t>สายซิลิโคน 10AWG + XT90</t>
        </is>
      </c>
      <c r="D19" s="11" t="inlineStr"/>
      <c r="E19" s="12" t="n">
        <v>1</v>
      </c>
      <c r="F19" s="13" t="n">
        <v>200</v>
      </c>
      <c r="G19" s="13" t="n">
        <v>500</v>
      </c>
      <c r="H19" s="13">
        <f>E19*F19</f>
        <v/>
      </c>
      <c r="I19" s="13">
        <f>E19*G19</f>
        <v/>
      </c>
      <c r="J19" s="12" t="inlineStr">
        <is>
          <t>ซื้อ</t>
        </is>
      </c>
      <c r="K19" s="11" t="inlineStr">
        <is>
          <t>2026-07-25 ต่อขนาน: ต้องทนกระแสรวมเต็ม (hover 35.6A, peak สูงกว่ามาก) และ บัดกรี/ล็อกให้แน่น — ถ้าก้อนหนึ่งหลุดกลางอากาศแล้วต่อกลับ inrush อาจ brown-out FC</t>
        </is>
      </c>
    </row>
    <row r="20">
      <c r="A20" s="10" t="inlineStr">
        <is>
          <t>Power</t>
        </is>
      </c>
      <c r="B20" s="11" t="inlineStr">
        <is>
          <t>บอร์ดชาร์จขนาน 6S + เช็กเกอร์เซลล์</t>
        </is>
      </c>
      <c r="C20" s="11" t="inlineStr">
        <is>
          <t>parallel charge board 6S + cell checker/IR meter</t>
        </is>
      </c>
      <c r="D20" s="11" t="inlineStr"/>
      <c r="E20" s="12" t="n">
        <v>1</v>
      </c>
      <c r="F20" s="13" t="n">
        <v>400</v>
      </c>
      <c r="G20" s="13" t="n">
        <v>900</v>
      </c>
      <c r="H20" s="13">
        <f>E20*F20</f>
        <v/>
      </c>
      <c r="I20" s="13">
        <f>E20*G20</f>
        <v/>
      </c>
      <c r="J20" s="12" t="inlineStr">
        <is>
          <t>ซื้อ</t>
        </is>
      </c>
      <c r="K20" s="11" t="inlineStr">
        <is>
          <t>แบตขนานต้อง MATCH ก่อนเสียบทุกครั้ง (ต่างกัน ≤~0.05-0.1V/cell) และเป็นคู่ตายตัว อายุ/รอบชาร์จเท่ากัน — ไม่มี fuse/diode คั่น ถ้าเซลล์ก้อนหนึ่งช็อต อีกก้อนจะอัดเข้าไป</t>
        </is>
      </c>
    </row>
    <row r="21">
      <c r="A21" s="4" t="inlineStr">
        <is>
          <t>C. Navigation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10" t="inlineStr">
        <is>
          <t>Nav</t>
        </is>
      </c>
      <c r="B22" s="11" t="inlineStr">
        <is>
          <t>GPS + compass (no-RTK)</t>
        </is>
      </c>
      <c r="C22" s="11" t="inlineStr">
        <is>
          <t>Holybro M10 + mast</t>
        </is>
      </c>
      <c r="D22" s="11" t="inlineStr"/>
      <c r="E22" s="12" t="n">
        <v>1</v>
      </c>
      <c r="F22" s="13" t="n">
        <v>1500</v>
      </c>
      <c r="G22" s="13" t="n">
        <v>2000</v>
      </c>
      <c r="H22" s="13">
        <f>E22*F22</f>
        <v/>
      </c>
      <c r="I22" s="13">
        <f>E22*G22</f>
        <v/>
      </c>
      <c r="J22" s="12" t="inlineStr">
        <is>
          <t>ซื้อ</t>
        </is>
      </c>
      <c r="K22" s="11" t="inlineStr">
        <is>
          <t>no-RTK พอ; กล้องคุมเมตรสุดท้าย</t>
        </is>
      </c>
    </row>
    <row r="23">
      <c r="A23" s="10" t="inlineStr">
        <is>
          <t>Nav</t>
        </is>
      </c>
      <c r="B23" s="11" t="inlineStr">
        <is>
          <t>Rangefinder ลงล่าง (AGL)</t>
        </is>
      </c>
      <c r="C23" s="11" t="inlineStr">
        <is>
          <t>Benewake TFmini-S (12m, UART/I2C)</t>
        </is>
      </c>
      <c r="D23" s="11" t="inlineStr"/>
      <c r="E23" s="12" t="n">
        <v>1</v>
      </c>
      <c r="F23" s="13" t="n">
        <v>800</v>
      </c>
      <c r="G23" s="13" t="n">
        <v>1400</v>
      </c>
      <c r="H23" s="13">
        <f>E23*F23</f>
        <v/>
      </c>
      <c r="I23" s="13">
        <f>E23*G23</f>
        <v/>
      </c>
      <c r="J23" s="12" t="inlineStr">
        <is>
          <t>ซื้อ</t>
        </is>
      </c>
      <c r="K23" s="11" t="inlineStr">
        <is>
          <t>ยืนยัน AGL ช่วง descend + touchdown gate; EKF2_RNG_CTRL=1 (ตั้ง SENS_TFMINI_CFG ตามพอร์ตที่เลือกตอน G5). ไม่ใช้ optical flow แล้ว (ตัดออก 2026-07-22)</t>
        </is>
      </c>
    </row>
    <row r="24">
      <c r="A24" s="4" t="inlineStr">
        <is>
          <t>D. Vision (mission-critical)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10" t="inlineStr">
        <is>
          <t>Vision</t>
        </is>
      </c>
      <c r="B25" s="11" t="inlineStr">
        <is>
          <t>CM4 carrier (ถ้ายังไม่มี)</t>
        </is>
      </c>
      <c r="C25" s="11" t="inlineStr">
        <is>
          <t>Waveshare CM4 carrier mini</t>
        </is>
      </c>
      <c r="D25" s="11" t="inlineStr"/>
      <c r="E25" s="12" t="n">
        <v>1</v>
      </c>
      <c r="F25" s="13" t="n">
        <v>800</v>
      </c>
      <c r="G25" s="13" t="n">
        <v>2000</v>
      </c>
      <c r="H25" s="13">
        <f>E25*F25</f>
        <v/>
      </c>
      <c r="I25" s="13">
        <f>E25*G25</f>
        <v/>
      </c>
      <c r="J25" s="12" t="inlineStr">
        <is>
          <t>ซื้อ</t>
        </is>
      </c>
      <c r="K25" s="11" t="inlineStr">
        <is>
          <t>ต้องมี USB+UART+power</t>
        </is>
      </c>
    </row>
    <row r="26">
      <c r="A26" s="10" t="inlineStr">
        <is>
          <t>Vision</t>
        </is>
      </c>
      <c r="B26" s="11" t="inlineStr">
        <is>
          <t>CM4 heatsink/fan</t>
        </is>
      </c>
      <c r="C26" s="11" t="inlineStr">
        <is>
          <t>—</t>
        </is>
      </c>
      <c r="D26" s="11" t="inlineStr"/>
      <c r="E26" s="12" t="n">
        <v>1</v>
      </c>
      <c r="F26" s="13" t="n">
        <v>150</v>
      </c>
      <c r="G26" s="13" t="n">
        <v>400</v>
      </c>
      <c r="H26" s="13">
        <f>E26*F26</f>
        <v/>
      </c>
      <c r="I26" s="13">
        <f>E26*G26</f>
        <v/>
      </c>
      <c r="J26" s="12" t="inlineStr">
        <is>
          <t>ซื้อ</t>
        </is>
      </c>
      <c r="K26" s="11" t="inlineStr">
        <is>
          <t>classical CV รันต่อเนื่อง ต้องระบายร้อน</t>
        </is>
      </c>
    </row>
    <row r="27">
      <c r="A27" s="10" t="inlineStr">
        <is>
          <t>Vision</t>
        </is>
      </c>
      <c r="B27" s="11" t="inlineStr">
        <is>
          <t>microSD 32GB (ถ้า CM4 Lite)</t>
        </is>
      </c>
      <c r="C27" s="11" t="inlineStr">
        <is>
          <t>—</t>
        </is>
      </c>
      <c r="D27" s="11" t="inlineStr"/>
      <c r="E27" s="12" t="n">
        <v>1</v>
      </c>
      <c r="F27" s="13" t="n">
        <v>250</v>
      </c>
      <c r="G27" s="13" t="n">
        <v>400</v>
      </c>
      <c r="H27" s="13">
        <f>E27*F27</f>
        <v/>
      </c>
      <c r="I27" s="13">
        <f>E27*G27</f>
        <v/>
      </c>
      <c r="J27" s="12" t="inlineStr">
        <is>
          <t>ซื้อ</t>
        </is>
      </c>
      <c r="K27" s="11" t="inlineStr"/>
    </row>
    <row r="28">
      <c r="A28" s="10" t="inlineStr">
        <is>
          <t>Vision</t>
        </is>
      </c>
      <c r="B28" s="11" t="inlineStr">
        <is>
          <t>กล้อง NADIR (ตัวเดียว)</t>
        </is>
      </c>
      <c r="C28" s="11" t="inlineStr">
        <is>
          <t>Meige OV9281 USB UVC mono GS 1280x720</t>
        </is>
      </c>
      <c r="D28" s="11" t="inlineStr"/>
      <c r="E28" s="12" t="n">
        <v>1</v>
      </c>
      <c r="F28" s="13" t="n">
        <v>0</v>
      </c>
      <c r="G28" s="13" t="n">
        <v>0</v>
      </c>
      <c r="H28" s="13">
        <f>E28*F28</f>
        <v/>
      </c>
      <c r="I28" s="13">
        <f>E28*G28</f>
        <v/>
      </c>
      <c r="J28" s="12" t="inlineStr">
        <is>
          <t>มีแล้ว</t>
        </is>
      </c>
      <c r="K28" s="11" t="inlineStr">
        <is>
          <t>ตัดสินใจ 2026-07-15: กล้องเดียว mono global-shutter; กว้าง 1280px → decode ArUco 400mm ที่ sweep 12m (~18px) เท่าเดิม; HFOV เลนส์ยังไม่ทราบ — วัดจริงที่ G6 (config ใส่ placeholder 99.7)</t>
        </is>
      </c>
    </row>
    <row r="29">
      <c r="A29" s="10" t="inlineStr">
        <is>
          <t>Vision</t>
        </is>
      </c>
      <c r="B29" s="11" t="inlineStr">
        <is>
          <t>Gimbal servo + mount (stabilized nadir)</t>
        </is>
      </c>
      <c r="C29" s="11" t="inlineStr">
        <is>
          <t>servo metal-gear แกน pitch + เคสกล้องกันสั่น</t>
        </is>
      </c>
      <c r="D29" s="11" t="inlineStr"/>
      <c r="E29" s="12" t="n">
        <v>1</v>
      </c>
      <c r="F29" s="13" t="n">
        <v>300</v>
      </c>
      <c r="G29" s="13" t="n">
        <v>900</v>
      </c>
      <c r="H29" s="13">
        <f>E29*F29</f>
        <v/>
      </c>
      <c r="I29" s="13">
        <f>E29*G29</f>
        <v/>
      </c>
      <c r="J29" s="12" t="inlineStr">
        <is>
          <t>ซื้อ</t>
        </is>
      </c>
      <c r="K29" s="11" t="inlineStr">
        <is>
          <t>PX4 mount driver (MNT_*) กดกล้องดิ่งตลอด; VERIFY-AT-G5: ทิศ/ช่วง servo, PWM, ไม่ชน servo ปล่อยไข่ AUX 9-12 (4 ช่อง) (กล้อง oblique เดิม = ตัดออก)</t>
        </is>
      </c>
    </row>
    <row r="30">
      <c r="A30" s="4" t="inlineStr">
        <is>
          <t>E. Egg release (briefing 2026-07-24 — ไข่ 4 ฟอง/เที่ยว, ปล่อยหลังแตะพื้นเท่านั้น)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10" t="inlineStr">
        <is>
          <t>Drop</t>
        </is>
      </c>
      <c r="B31" s="11" t="inlineStr">
        <is>
          <t>Servo metal-gear (ประตูช่องไข่)</t>
        </is>
      </c>
      <c r="C31" s="11" t="inlineStr">
        <is>
          <t>MG90S</t>
        </is>
      </c>
      <c r="D31" s="11" t="inlineStr"/>
      <c r="E31" s="12" t="n">
        <v>4</v>
      </c>
      <c r="F31" s="13" t="n">
        <v>120</v>
      </c>
      <c r="G31" s="13" t="n">
        <v>200</v>
      </c>
      <c r="H31" s="13">
        <f>E31*F31</f>
        <v/>
      </c>
      <c r="I31" s="13">
        <f>E31*G31</f>
        <v/>
      </c>
      <c r="J31" s="12" t="inlineStr">
        <is>
          <t>ซื้อ</t>
        </is>
      </c>
      <c r="K31" s="11" t="inlineStr">
        <is>
          <t>4 ตัว = 4 กลไกปล่อย INDEPENDENT (กติกา §7 ห้ามปล่อยพร้อมกัน) — payload_id 0..3 → AUX 9/10/11/12 บน 6X (drop_servo_channel=9, drop_payload_count=4); +สำรอง 2 ตัวก็ดี. ⚠ rail AUX ของ 6X ไม่จ่ายไฟเอง ต้องป้อน 5V เข้า servo rail (MG90S 4 ตัว peak ~1A/ตัว)</t>
        </is>
      </c>
    </row>
    <row r="32">
      <c r="A32" s="10" t="inlineStr">
        <is>
          <t>Drop</t>
        </is>
      </c>
      <c r="B32" s="11" t="inlineStr">
        <is>
          <t>Egg cradle / enclosed bay x4 (กันสั่น)</t>
        </is>
      </c>
      <c r="C32" s="11" t="inlineStr">
        <is>
          <t>พิมพ์ 3D + โฟม/สปริงนุ่ม</t>
        </is>
      </c>
      <c r="D32" s="11" t="inlineStr"/>
      <c r="E32" s="12" t="n">
        <v>1</v>
      </c>
      <c r="F32" s="13" t="n">
        <v>800</v>
      </c>
      <c r="G32" s="13" t="n">
        <v>1600</v>
      </c>
      <c r="H32" s="13">
        <f>E32*F32</f>
        <v/>
      </c>
      <c r="I32" s="13">
        <f>E32*G32</f>
        <v/>
      </c>
      <c r="J32" s="12" t="inlineStr">
        <is>
          <t>ซื้อ</t>
        </is>
      </c>
      <c r="K32" s="11" t="inlineStr">
        <is>
          <t>หน่วย=ชุด 4 ช่อง (ไข่ 4 ฟองบินไปพร้อมกันเที่ยวเดียว). กติกา: ห้าม winch, ปล่อยเบา ๆ บนแพด (ไข่ต้องรอด); ประตูเปิดล่าง ไข่ไหลลงต่ำ ~5cm. ⚠ วางไม่ให้บังกล้อง nadir + TFmini-S ที่มองลงแกนกลาง และแบ่ง CG กับแบต 2 ก้อน</t>
        </is>
      </c>
    </row>
    <row r="33">
      <c r="A33" s="4" t="inlineStr">
        <is>
          <t>F. Mounting / Safety / Misc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10" t="inlineStr">
        <is>
          <t>Misc</t>
        </is>
      </c>
      <c r="B34" s="11" t="inlineStr">
        <is>
          <t>แผ่น vibration-damping (กล้อง+FC)</t>
        </is>
      </c>
      <c r="C34" s="11" t="inlineStr">
        <is>
          <t>—</t>
        </is>
      </c>
      <c r="D34" s="11" t="inlineStr"/>
      <c r="E34" s="12" t="n">
        <v>1</v>
      </c>
      <c r="F34" s="13" t="n">
        <v>300</v>
      </c>
      <c r="G34" s="13" t="n">
        <v>600</v>
      </c>
      <c r="H34" s="13">
        <f>E34*F34</f>
        <v/>
      </c>
      <c r="I34" s="13">
        <f>E34*G34</f>
        <v/>
      </c>
      <c r="J34" s="12" t="inlineStr">
        <is>
          <t>ซื้อ</t>
        </is>
      </c>
      <c r="K34" s="11" t="inlineStr">
        <is>
          <t>ภาพสั่น = mask แดงเพี้ยน + projection noise</t>
        </is>
      </c>
    </row>
    <row r="35">
      <c r="A35" s="10" t="inlineStr">
        <is>
          <t>Misc</t>
        </is>
      </c>
      <c r="B35" s="11" t="inlineStr">
        <is>
          <t>Antenna mount แยก 900/2.4</t>
        </is>
      </c>
      <c r="C35" s="11" t="inlineStr">
        <is>
          <t>—</t>
        </is>
      </c>
      <c r="D35" s="11" t="inlineStr"/>
      <c r="E35" s="12" t="n">
        <v>2</v>
      </c>
      <c r="F35" s="13" t="n">
        <v>75</v>
      </c>
      <c r="G35" s="13" t="n">
        <v>150</v>
      </c>
      <c r="H35" s="13">
        <f>E35*F35</f>
        <v/>
      </c>
      <c r="I35" s="13">
        <f>E35*G35</f>
        <v/>
      </c>
      <c r="J35" s="12" t="inlineStr">
        <is>
          <t>ซื้อ</t>
        </is>
      </c>
      <c r="K35" s="11" t="inlineStr">
        <is>
          <t>กัน 900MHz desense จาก CM4/ESC</t>
        </is>
      </c>
    </row>
    <row r="36">
      <c r="A36" s="10" t="inlineStr">
        <is>
          <t>Misc</t>
        </is>
      </c>
      <c r="B36" s="11" t="inlineStr">
        <is>
          <t>Standoff/น็อต/zip tie/heatshrink</t>
        </is>
      </c>
      <c r="C36" s="11" t="inlineStr">
        <is>
          <t>—</t>
        </is>
      </c>
      <c r="D36" s="11" t="inlineStr"/>
      <c r="E36" s="12" t="n">
        <v>1</v>
      </c>
      <c r="F36" s="13" t="n">
        <v>400</v>
      </c>
      <c r="G36" s="13" t="n">
        <v>600</v>
      </c>
      <c r="H36" s="13">
        <f>E36*F36</f>
        <v/>
      </c>
      <c r="I36" s="13">
        <f>E36*G36</f>
        <v/>
      </c>
      <c r="J36" s="12" t="inlineStr">
        <is>
          <t>ซื้อ</t>
        </is>
      </c>
      <c r="K36" s="11" t="inlineStr"/>
    </row>
    <row r="37">
      <c r="A37" s="4" t="inlineStr">
        <is>
          <t>🔧 Optional upgrade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14" t="inlineStr">
        <is>
          <t>Optional</t>
        </is>
      </c>
      <c r="B38" s="15" t="inlineStr">
        <is>
          <t>แบต 6S 7500mAh Li-ion</t>
        </is>
      </c>
      <c r="C38" s="15" t="inlineStr">
        <is>
          <t>molicel / Li-ion 6S</t>
        </is>
      </c>
      <c r="D38" s="15" t="inlineStr"/>
      <c r="E38" s="16" t="n">
        <v>1</v>
      </c>
      <c r="F38" s="17" t="n">
        <v>3000</v>
      </c>
      <c r="G38" s="17" t="n">
        <v>4500</v>
      </c>
      <c r="H38" s="17">
        <f>E38*F38</f>
        <v/>
      </c>
      <c r="I38" s="17">
        <f>E38*G38</f>
        <v/>
      </c>
      <c r="J38" s="16" t="inlineStr">
        <is>
          <t>optional</t>
        </is>
      </c>
      <c r="K38" s="15" t="inlineStr">
        <is>
          <t>Wh/น้ำหนักดีกว่า LiPo ~20-30% → คลาย energy budget</t>
        </is>
      </c>
    </row>
    <row r="40">
      <c r="A40" s="18" t="inlineStr">
        <is>
          <t>มูลค่าของที่มีอยู่แล้ว</t>
        </is>
      </c>
      <c r="H40" s="19">
        <f>SUM(H5:H10)</f>
        <v/>
      </c>
      <c r="I40" s="19">
        <f>SUM(I5:I10)</f>
        <v/>
      </c>
    </row>
    <row r="41">
      <c r="A41" s="18" t="inlineStr">
        <is>
          <t>รวม ที่ต้องซื้อ (ไม่รวม optional)</t>
        </is>
      </c>
      <c r="H41" s="19">
        <f>SUM(H12:H36)</f>
        <v/>
      </c>
      <c r="I41" s="19">
        <f>SUM(I12:I36)</f>
        <v/>
      </c>
    </row>
    <row r="42">
      <c r="A42" s="18" t="inlineStr">
        <is>
          <t>รวมทั้งโปรเจกต์ (มีแล้ว + ต้องซื้อ)</t>
        </is>
      </c>
      <c r="H42" s="19">
        <f>H40+H41</f>
        <v/>
      </c>
      <c r="I42" s="19">
        <f>I40+I41</f>
        <v/>
      </c>
    </row>
    <row r="43">
      <c r="A43" s="18" t="inlineStr">
        <is>
          <t>รวมทั้งโปรเจกต์ + Optional (Li-ion)</t>
        </is>
      </c>
      <c r="H43" s="19">
        <f>H42+H38</f>
        <v/>
      </c>
      <c r="I43" s="19">
        <f>I42+I38</f>
        <v/>
      </c>
    </row>
  </sheetData>
  <mergeCells count="14">
    <mergeCell ref="A4:K4"/>
    <mergeCell ref="A40:G40"/>
    <mergeCell ref="A21:K21"/>
    <mergeCell ref="A30:K30"/>
    <mergeCell ref="A15:K15"/>
    <mergeCell ref="A24:K24"/>
    <mergeCell ref="A2:K2"/>
    <mergeCell ref="A11:K11"/>
    <mergeCell ref="A33:K33"/>
    <mergeCell ref="A43:G43"/>
    <mergeCell ref="A41:G41"/>
    <mergeCell ref="A1:K1"/>
    <mergeCell ref="A37:K37"/>
    <mergeCell ref="A42:G42"/>
  </mergeCells>
  <printOptions horizontalCentered="1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2026-07-25T09:16:54Z</dcterms:created>
  <dcterms:modified xmlns:dcterms="http://purl.org/dc/terms/" xmlns:xsi="http://www.w3.org/2001/XMLSchema-instance" xsi:type="dcterms:W3CDTF">2026-07-25T09:16:55Z</dcterms:modified>
</cp:coreProperties>
</file>